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0"/>
            <rFont val="Noto Sans SC"/>
            <family val="2"/>
          </rPr>
          <t xml:space="preserve">在途库存由</t>
        </r>
        <r>
          <rPr>
            <sz val="10"/>
            <rFont val="Arial"/>
            <family val="2"/>
          </rPr>
          <t xml:space="preserve">N</t>
        </r>
        <r>
          <rPr>
            <sz val="10"/>
            <rFont val="Noto Sans SC"/>
            <family val="2"/>
          </rPr>
          <t xml:space="preserve">单在途发货单统计，对应成分可能为多笔分批到货</t>
        </r>
      </text>
    </comment>
    <comment ref="A8" authorId="0">
      <text>
        <r>
          <rPr>
            <sz val="10"/>
            <rFont val="Noto Sans SC"/>
            <family val="2"/>
          </rPr>
          <t xml:space="preserve">该产品对应仓库的库存与共用仓库的库存， 如</t>
        </r>
        <r>
          <rPr>
            <sz val="10"/>
            <rFont val="Arial"/>
            <family val="2"/>
          </rPr>
          <t xml:space="preserve">amazon</t>
        </r>
        <r>
          <rPr>
            <sz val="10"/>
            <rFont val="Noto Sans SC"/>
            <family val="2"/>
          </rPr>
          <t xml:space="preserve">，专用仓库</t>
        </r>
        <r>
          <rPr>
            <sz val="10"/>
            <rFont val="Arial"/>
            <family val="2"/>
          </rPr>
          <t xml:space="preserve">FBA</t>
        </r>
        <r>
          <rPr>
            <sz val="10"/>
            <rFont val="Noto Sans SC"/>
            <family val="2"/>
          </rPr>
          <t xml:space="preserve">没货后，可以通过</t>
        </r>
        <r>
          <rPr>
            <sz val="10"/>
            <rFont val="Arial"/>
            <family val="2"/>
          </rPr>
          <t xml:space="preserve">CHI</t>
        </r>
        <r>
          <rPr>
            <sz val="10"/>
            <rFont val="Noto Sans SC"/>
            <family val="2"/>
          </rPr>
          <t xml:space="preserve">等美国仓库调拨。
期初库存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Noto Sans SC"/>
            <family val="2"/>
          </rPr>
          <t xml:space="preserve">上期末库存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SC"/>
            <family val="2"/>
          </rPr>
          <t xml:space="preserve">当期在途入库数量</t>
        </r>
      </text>
    </comment>
    <comment ref="A9" authorId="0">
      <text>
        <r>
          <rPr>
            <sz val="10"/>
            <rFont val="Noto Sans SC"/>
            <family val="2"/>
          </rPr>
          <t xml:space="preserve">计划销量是当月销量，直接扣减当月库存</t>
        </r>
      </text>
    </comment>
    <comment ref="A10" authorId="0">
      <text>
        <r>
          <rPr>
            <sz val="10"/>
            <rFont val="Noto Sans SC"/>
            <family val="2"/>
          </rPr>
          <t xml:space="preserve">采购量，生产与货运至少要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SC"/>
            <family val="2"/>
          </rPr>
          <t xml:space="preserve">个月才能供应国际销售需求。而国内销售只要保证生产周期，而货运周期国内通常是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SC"/>
            <family val="2"/>
          </rPr>
          <t xml:space="preserve">周。
</t>
        </r>
      </text>
    </comment>
    <comment ref="A11" authorId="0">
      <text>
        <r>
          <rPr>
            <sz val="10"/>
            <rFont val="Noto Sans SC"/>
            <family val="2"/>
          </rPr>
          <t xml:space="preserve">在途库存， 不包含国内生产的本地仓。 只包含已经运输给平台仓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SC"/>
            <family val="2"/>
          </rPr>
          <t xml:space="preserve">如</t>
        </r>
        <r>
          <rPr>
            <sz val="10"/>
            <rFont val="Arial"/>
            <family val="2"/>
          </rPr>
          <t xml:space="preserve">FBA)</t>
        </r>
        <r>
          <rPr>
            <sz val="10"/>
            <rFont val="Noto Sans SC"/>
            <family val="2"/>
          </rPr>
          <t xml:space="preserve">，或头程海外仓的对应产品数量</t>
        </r>
      </text>
    </comment>
    <comment ref="C10" authorId="0">
      <text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SC"/>
            <family val="2"/>
          </rPr>
          <t xml:space="preserve">月采购的，生产完成后才会进入排货与发货</t>
        </r>
      </text>
    </comment>
    <comment ref="E11" authorId="0">
      <text>
        <r>
          <rPr>
            <sz val="10"/>
            <rFont val="Noto Sans SC"/>
            <family val="2"/>
          </rPr>
          <t xml:space="preserve">可能此时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SC"/>
            <family val="2"/>
          </rPr>
          <t xml:space="preserve">月的生产才会此时进行排货后运输，转为在途</t>
        </r>
      </text>
    </comment>
    <comment ref="F11" authorId="0">
      <text>
        <r>
          <rPr>
            <sz val="10"/>
            <rFont val="Noto Sans SC"/>
            <family val="2"/>
          </rPr>
          <t xml:space="preserve">此时上个月发货还在途，</t>
        </r>
        <r>
          <rPr>
            <sz val="10"/>
            <rFont val="Arial"/>
            <family val="2"/>
          </rPr>
          <t xml:space="preserve">11</t>
        </r>
        <r>
          <rPr>
            <sz val="10"/>
            <rFont val="Noto Sans SC"/>
            <family val="2"/>
          </rPr>
          <t xml:space="preserve">月生产的也发货了，也进入了在途状态。</t>
        </r>
      </text>
    </comment>
  </commentList>
</comments>
</file>

<file path=xl/sharedStrings.xml><?xml version="1.0" encoding="utf-8"?>
<sst xmlns="http://schemas.openxmlformats.org/spreadsheetml/2006/main" count="21" uniqueCount="21">
  <si>
    <r>
      <rPr>
        <sz val="10"/>
        <rFont val="Noto Sans SC"/>
        <family val="2"/>
      </rPr>
      <t xml:space="preserve">案例</t>
    </r>
    <r>
      <rPr>
        <sz val="10"/>
        <rFont val="Arial"/>
        <family val="2"/>
      </rPr>
      <t xml:space="preserve">: </t>
    </r>
    <r>
      <rPr>
        <sz val="10"/>
        <rFont val="Noto Sans SC"/>
        <family val="2"/>
      </rPr>
      <t xml:space="preserve">仅使用一个产品作为说明，实际程序一次要计算成百上千的产品规模。这仅仅是最小计算方式，从最小颗粒度看一个产品的库存变化，公式等于期末库存</t>
    </r>
    <r>
      <rPr>
        <sz val="10"/>
        <rFont val="Arial"/>
        <family val="2"/>
      </rPr>
      <t xml:space="preserve">=</t>
    </r>
    <r>
      <rPr>
        <sz val="10"/>
        <rFont val="Noto Sans SC"/>
        <family val="2"/>
      </rPr>
      <t xml:space="preserve">期初库存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期望销量</t>
    </r>
    <r>
      <rPr>
        <sz val="10"/>
        <rFont val="Arial"/>
        <family val="2"/>
      </rPr>
      <t xml:space="preserve">+</t>
    </r>
    <r>
      <rPr>
        <sz val="10"/>
        <rFont val="Noto Sans SC"/>
        <family val="2"/>
      </rPr>
      <t xml:space="preserve">在途库存</t>
    </r>
  </si>
  <si>
    <r>
      <rPr>
        <sz val="10"/>
        <rFont val="Noto Sans SC"/>
        <family val="2"/>
      </rPr>
      <t xml:space="preserve">假设货号</t>
    </r>
    <r>
      <rPr>
        <sz val="10"/>
        <rFont val="Arial"/>
        <family val="2"/>
      </rPr>
      <t xml:space="preserve">: DCC104132</t>
    </r>
  </si>
  <si>
    <r>
      <rPr>
        <sz val="10"/>
        <rFont val="Noto Sans SC"/>
        <family val="2"/>
      </rPr>
      <t xml:space="preserve">在</t>
    </r>
    <r>
      <rPr>
        <sz val="10"/>
        <rFont val="Arial"/>
        <family val="2"/>
      </rPr>
      <t xml:space="preserve">FBA, shopify, tiktok3</t>
    </r>
    <r>
      <rPr>
        <sz val="10"/>
        <rFont val="Noto Sans SC"/>
        <family val="2"/>
      </rPr>
      <t xml:space="preserve">个平台对应</t>
    </r>
    <r>
      <rPr>
        <sz val="10"/>
        <rFont val="Arial"/>
        <family val="2"/>
      </rPr>
      <t xml:space="preserve">5</t>
    </r>
    <r>
      <rPr>
        <sz val="10"/>
        <rFont val="Noto Sans SC"/>
        <family val="2"/>
      </rPr>
      <t xml:space="preserve">个店铺销售</t>
    </r>
    <r>
      <rPr>
        <sz val="10"/>
        <rFont val="Arial"/>
        <family val="2"/>
      </rPr>
      <t xml:space="preserve">(amazon FBA 3</t>
    </r>
    <r>
      <rPr>
        <sz val="10"/>
        <rFont val="Noto Sans SC"/>
        <family val="2"/>
      </rPr>
      <t xml:space="preserve">店</t>
    </r>
    <r>
      <rPr>
        <sz val="10"/>
        <rFont val="Arial"/>
        <family val="2"/>
      </rPr>
      <t xml:space="preserve">, </t>
    </r>
    <r>
      <rPr>
        <sz val="10"/>
        <rFont val="Noto Sans SC"/>
        <family val="2"/>
      </rPr>
      <t xml:space="preserve">德国，日本，美国</t>
    </r>
    <r>
      <rPr>
        <sz val="10"/>
        <rFont val="Arial"/>
        <family val="2"/>
      </rPr>
      <t xml:space="preserve">, shopify </t>
    </r>
    <r>
      <rPr>
        <sz val="10"/>
        <rFont val="Noto Sans SC"/>
        <family val="2"/>
      </rPr>
      <t xml:space="preserve">北美， </t>
    </r>
    <r>
      <rPr>
        <sz val="10"/>
        <rFont val="Arial"/>
        <family val="2"/>
      </rPr>
      <t xml:space="preserve">tiktok</t>
    </r>
    <r>
      <rPr>
        <sz val="10"/>
        <rFont val="Noto Sans SC"/>
        <family val="2"/>
      </rPr>
      <t xml:space="preserve">美国</t>
    </r>
    <r>
      <rPr>
        <sz val="10"/>
        <rFont val="Arial"/>
        <family val="2"/>
      </rPr>
      <t xml:space="preserve">)</t>
    </r>
  </si>
  <si>
    <t xml:space="preserve">月</t>
  </si>
  <si>
    <t xml:space="preserve">2026/9</t>
  </si>
  <si>
    <t xml:space="preserve">2026/10</t>
  </si>
  <si>
    <t xml:space="preserve">2026/11</t>
  </si>
  <si>
    <t xml:space="preserve">2026/12</t>
  </si>
  <si>
    <t xml:space="preserve">2027/1</t>
  </si>
  <si>
    <t xml:space="preserve">可能规划的更多月份</t>
  </si>
  <si>
    <r>
      <rPr>
        <sz val="10"/>
        <rFont val="Noto Sans SC"/>
        <family val="2"/>
      </rPr>
      <t xml:space="preserve">当期在途入库量</t>
    </r>
    <r>
      <rPr>
        <sz val="10"/>
        <rFont val="Arial"/>
        <family val="2"/>
      </rPr>
      <t xml:space="preserve">(</t>
    </r>
    <r>
      <rPr>
        <sz val="10"/>
        <rFont val="Noto Sans SC"/>
        <family val="2"/>
      </rPr>
      <t xml:space="preserve">系统检测，入库情况</t>
    </r>
    <r>
      <rPr>
        <sz val="10"/>
        <rFont val="Arial"/>
        <family val="2"/>
      </rPr>
      <t xml:space="preserve">)</t>
    </r>
  </si>
  <si>
    <t xml:space="preserve">动态统计，入库可能存在多笔分批入库情况</t>
  </si>
  <si>
    <t xml:space="preserve">期初库存</t>
  </si>
  <si>
    <r>
      <rPr>
        <sz val="10"/>
        <rFont val="Noto Sans SC"/>
        <family val="2"/>
      </rPr>
      <t xml:space="preserve">期望销量</t>
    </r>
    <r>
      <rPr>
        <sz val="10"/>
        <rFont val="Arial"/>
        <family val="2"/>
      </rPr>
      <t xml:space="preserve">(</t>
    </r>
    <r>
      <rPr>
        <sz val="10"/>
        <rFont val="Noto Sans SC"/>
        <family val="2"/>
      </rPr>
      <t xml:space="preserve">人提供</t>
    </r>
    <r>
      <rPr>
        <sz val="10"/>
        <rFont val="Arial"/>
        <family val="2"/>
      </rPr>
      <t xml:space="preserve">)</t>
    </r>
  </si>
  <si>
    <r>
      <rPr>
        <sz val="10"/>
        <rFont val="Noto Sans SC"/>
        <family val="2"/>
      </rPr>
      <t xml:space="preserve">计划采购量</t>
    </r>
    <r>
      <rPr>
        <sz val="10"/>
        <rFont val="Arial"/>
        <family val="2"/>
      </rPr>
      <t xml:space="preserve">(</t>
    </r>
    <r>
      <rPr>
        <sz val="10"/>
        <rFont val="Noto Sans SC"/>
        <family val="2"/>
      </rPr>
      <t xml:space="preserve">人提供</t>
    </r>
    <r>
      <rPr>
        <sz val="10"/>
        <rFont val="Arial"/>
        <family val="2"/>
      </rPr>
      <t xml:space="preserve">)</t>
    </r>
  </si>
  <si>
    <r>
      <rPr>
        <sz val="10"/>
        <rFont val="Noto Sans SC"/>
        <family val="2"/>
      </rPr>
      <t xml:space="preserve">在途库存</t>
    </r>
    <r>
      <rPr>
        <sz val="10"/>
        <rFont val="Arial"/>
        <family val="2"/>
      </rPr>
      <t xml:space="preserve">(</t>
    </r>
    <r>
      <rPr>
        <sz val="10"/>
        <rFont val="Noto Sans SC"/>
        <family val="2"/>
      </rPr>
      <t xml:space="preserve">系统检测</t>
    </r>
    <r>
      <rPr>
        <sz val="10"/>
        <rFont val="Arial"/>
        <family val="2"/>
      </rPr>
      <t xml:space="preserve">)</t>
    </r>
  </si>
  <si>
    <t xml:space="preserve">期末库存</t>
  </si>
  <si>
    <r>
      <rPr>
        <sz val="10"/>
        <rFont val="Noto Sans SC"/>
        <family val="2"/>
      </rPr>
      <t xml:space="preserve">期间实际销量</t>
    </r>
    <r>
      <rPr>
        <sz val="10"/>
        <rFont val="Arial"/>
        <family val="2"/>
      </rPr>
      <t xml:space="preserve">(</t>
    </r>
    <r>
      <rPr>
        <sz val="10"/>
        <rFont val="Noto Sans SC"/>
        <family val="2"/>
      </rPr>
      <t xml:space="preserve">下月系统检测</t>
    </r>
    <r>
      <rPr>
        <sz val="10"/>
        <rFont val="Arial"/>
        <family val="2"/>
      </rPr>
      <t xml:space="preserve">)</t>
    </r>
  </si>
  <si>
    <t xml:space="preserve">生产中</t>
  </si>
  <si>
    <t xml:space="preserve">排货中</t>
  </si>
  <si>
    <t xml:space="preserve">货运中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</si>
</sst>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SC"/>
      <family val="2"/>
    </font>
  </fonts>
  <fills count="4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FFB66C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26"/>
    <col collapsed="false" customWidth="true" hidden="false" outlineLevel="0" max="7" min="7" style="0" width="49.9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5" customFormat="false" ht="12.8" hidden="false" customHeight="false" outlineLevel="0" collapsed="false">
      <c r="A5" s="1" t="s">
        <v>3</v>
      </c>
    </row>
    <row r="6" customFormat="false" ht="25.35" hidden="false" customHeight="true" outlineLevel="0" collapsed="false">
      <c r="A6" s="2"/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3" t="s">
        <v>9</v>
      </c>
    </row>
    <row r="7" customFormat="false" ht="25.35" hidden="false" customHeight="true" outlineLevel="0" collapsed="false">
      <c r="A7" s="4" t="s">
        <v>10</v>
      </c>
      <c r="B7" s="2" t="n">
        <v>0</v>
      </c>
      <c r="C7" s="2" t="n">
        <v>133</v>
      </c>
      <c r="D7" s="2" t="n">
        <v>80</v>
      </c>
      <c r="E7" s="2" t="n">
        <v>20</v>
      </c>
      <c r="F7" s="2"/>
      <c r="G7" s="3" t="s">
        <v>11</v>
      </c>
    </row>
    <row r="8" customFormat="false" ht="25.35" hidden="false" customHeight="true" outlineLevel="0" collapsed="false">
      <c r="A8" s="4" t="s">
        <v>12</v>
      </c>
      <c r="B8" s="2" t="n">
        <f aca="false">500</f>
        <v>500</v>
      </c>
      <c r="C8" s="2" t="n">
        <f aca="false">B12</f>
        <v>400</v>
      </c>
      <c r="D8" s="2" t="n">
        <f aca="false">C12</f>
        <v>413</v>
      </c>
      <c r="E8" s="2" t="n">
        <f aca="false">D12</f>
        <v>372</v>
      </c>
      <c r="F8" s="2" t="n">
        <f aca="false">E12</f>
        <v>270</v>
      </c>
      <c r="G8" s="3"/>
    </row>
    <row r="9" customFormat="false" ht="25.35" hidden="false" customHeight="true" outlineLevel="0" collapsed="false">
      <c r="A9" s="4" t="s">
        <v>13</v>
      </c>
      <c r="B9" s="5" t="n">
        <v>100</v>
      </c>
      <c r="C9" s="5" t="n">
        <v>120</v>
      </c>
      <c r="D9" s="5" t="n">
        <v>121</v>
      </c>
      <c r="E9" s="5" t="n">
        <v>122</v>
      </c>
      <c r="F9" s="5" t="n">
        <v>100</v>
      </c>
      <c r="G9" s="3"/>
    </row>
    <row r="10" customFormat="false" ht="25.35" hidden="false" customHeight="true" outlineLevel="0" collapsed="false">
      <c r="A10" s="4" t="s">
        <v>14</v>
      </c>
      <c r="B10" s="5" t="n">
        <v>0</v>
      </c>
      <c r="C10" s="5" t="n">
        <v>110</v>
      </c>
      <c r="D10" s="5" t="n">
        <v>111</v>
      </c>
      <c r="E10" s="5" t="n">
        <v>112</v>
      </c>
      <c r="F10" s="5" t="n">
        <v>80</v>
      </c>
      <c r="G10" s="3"/>
    </row>
    <row r="11" customFormat="false" ht="25.35" hidden="false" customHeight="true" outlineLevel="0" collapsed="false">
      <c r="A11" s="4" t="s">
        <v>15</v>
      </c>
      <c r="B11" s="6" t="n">
        <v>233</v>
      </c>
      <c r="C11" s="6" t="n">
        <v>100</v>
      </c>
      <c r="D11" s="6" t="n">
        <v>20</v>
      </c>
      <c r="E11" s="6" t="n">
        <f aca="false">110</f>
        <v>110</v>
      </c>
      <c r="F11" s="6" t="n">
        <f aca="false">E11+D10</f>
        <v>221</v>
      </c>
      <c r="G11" s="3"/>
    </row>
    <row r="12" customFormat="false" ht="25.35" hidden="false" customHeight="true" outlineLevel="0" collapsed="false">
      <c r="A12" s="4" t="s">
        <v>16</v>
      </c>
      <c r="B12" s="2" t="n">
        <f aca="false">B8-B9+B7</f>
        <v>400</v>
      </c>
      <c r="C12" s="2" t="n">
        <f aca="false">C8-C9+C7</f>
        <v>413</v>
      </c>
      <c r="D12" s="2" t="n">
        <f aca="false">D8-D9+D7</f>
        <v>372</v>
      </c>
      <c r="E12" s="2" t="n">
        <f aca="false">E8-E9+E7</f>
        <v>270</v>
      </c>
      <c r="F12" s="2" t="n">
        <f aca="false">F8-F9+F7</f>
        <v>170</v>
      </c>
      <c r="G12" s="3"/>
    </row>
    <row r="13" customFormat="false" ht="25.35" hidden="false" customHeight="true" outlineLevel="0" collapsed="false">
      <c r="A13" s="4" t="s">
        <v>17</v>
      </c>
      <c r="B13" s="2"/>
      <c r="C13" s="2"/>
      <c r="D13" s="2"/>
      <c r="E13" s="2"/>
      <c r="F13" s="2"/>
      <c r="G13" s="3"/>
    </row>
    <row r="14" customFormat="false" ht="27.6" hidden="false" customHeight="true" outlineLevel="0" collapsed="false">
      <c r="A14" s="4" t="s">
        <v>18</v>
      </c>
      <c r="B14" s="2"/>
      <c r="C14" s="2"/>
      <c r="D14" s="2"/>
      <c r="E14" s="2"/>
      <c r="F14" s="2"/>
      <c r="G14" s="3"/>
    </row>
    <row r="15" customFormat="false" ht="27.6" hidden="false" customHeight="true" outlineLevel="0" collapsed="false">
      <c r="A15" s="4" t="s">
        <v>19</v>
      </c>
      <c r="B15" s="2"/>
      <c r="C15" s="2"/>
      <c r="D15" s="2"/>
      <c r="E15" s="2"/>
      <c r="F15" s="2"/>
      <c r="G15" s="3"/>
    </row>
    <row r="16" customFormat="false" ht="27.6" hidden="false" customHeight="true" outlineLevel="0" collapsed="false">
      <c r="A16" s="4" t="s">
        <v>20</v>
      </c>
      <c r="B16" s="2"/>
      <c r="C16" s="2"/>
      <c r="D16" s="2"/>
      <c r="E16" s="2"/>
      <c r="F16" s="2"/>
      <c r="G1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2026-09-17T18:08:35Z</dcterms:created>
  <dc:creator/>
  <dc:description/>
  <dc:language>en-US</dc:language>
  <cp:lastModifiedBy/>
  <dcterms:modified xsi:type="dcterms:W3CDTF">2026-09-17T18:44:10Z</dcterms:modified>
  <cp:revision>43</cp:revision>
  <dc:subject/>
  <dc:title/>
</cp:coreProperties>
</file>